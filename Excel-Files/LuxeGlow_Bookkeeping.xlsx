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7"/>
  <workbookPr showInkAnnotation="0" defaultThemeVersion="202300"/>
  <xr:revisionPtr revIDLastSave="0" documentId="8_{C3A7E553-26CB-B74A-9EEF-EB4844967A59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Chart of Accounts" sheetId="1" r:id="rId1"/>
    <sheet name="Journal Entries" sheetId="2" r:id="rId2"/>
    <sheet name="General Ledger" sheetId="3" r:id="rId3"/>
    <sheet name="Trial Balance" sheetId="4" r:id="rId4"/>
    <sheet name="Income Statement " sheetId="5" r:id="rId5"/>
    <sheet name="Balance Sheet" sheetId="6" r:id="rId6"/>
    <sheet name="Dashboard 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E14" i="7"/>
  <c r="E10" i="7"/>
  <c r="E9" i="7"/>
  <c r="E8" i="7"/>
  <c r="E7" i="7"/>
  <c r="E6" i="7"/>
  <c r="B7" i="7"/>
  <c r="B6" i="7"/>
  <c r="B17" i="5"/>
  <c r="B15" i="5"/>
  <c r="B11" i="5"/>
  <c r="B12" i="5"/>
  <c r="B13" i="5"/>
  <c r="B14" i="5"/>
  <c r="B10" i="5"/>
  <c r="B7" i="5"/>
  <c r="C12" i="4"/>
  <c r="C7" i="4"/>
  <c r="B9" i="7"/>
  <c r="B8" i="7"/>
  <c r="B16" i="6"/>
  <c r="C18" i="6"/>
  <c r="B20" i="6"/>
  <c r="B15" i="6"/>
  <c r="C13" i="6"/>
  <c r="C8" i="6"/>
  <c r="B11" i="6"/>
  <c r="B3" i="4"/>
  <c r="B5" i="4"/>
  <c r="C9" i="4"/>
  <c r="B6" i="6"/>
  <c r="B4" i="6"/>
  <c r="B2" i="6"/>
  <c r="B6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C3" i="4"/>
  <c r="C4" i="4"/>
  <c r="C5" i="4"/>
  <c r="C6" i="4"/>
  <c r="C8" i="4"/>
  <c r="C10" i="4"/>
  <c r="C11" i="4"/>
  <c r="C13" i="4"/>
  <c r="C14" i="4"/>
  <c r="C15" i="4"/>
  <c r="C16" i="4"/>
  <c r="C18" i="4"/>
  <c r="B4" i="4"/>
  <c r="B6" i="4"/>
  <c r="B7" i="4"/>
  <c r="B8" i="4"/>
  <c r="B9" i="4"/>
  <c r="B10" i="4"/>
  <c r="B11" i="4"/>
  <c r="B12" i="4"/>
  <c r="B13" i="4"/>
  <c r="B14" i="4"/>
  <c r="B15" i="4"/>
  <c r="B16" i="4"/>
  <c r="B18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B2" i="4"/>
  <c r="C2" i="3"/>
  <c r="E2" i="3"/>
  <c r="C2" i="4"/>
  <c r="D2" i="3"/>
</calcChain>
</file>

<file path=xl/sharedStrings.xml><?xml version="1.0" encoding="utf-8"?>
<sst xmlns="http://schemas.openxmlformats.org/spreadsheetml/2006/main" count="166" uniqueCount="77">
  <si>
    <t>Account Number</t>
  </si>
  <si>
    <t xml:space="preserve">Account Name </t>
  </si>
  <si>
    <t xml:space="preserve">Account Type </t>
  </si>
  <si>
    <t>Cash</t>
  </si>
  <si>
    <t>Asset</t>
  </si>
  <si>
    <t>Accounts Receivable</t>
  </si>
  <si>
    <t xml:space="preserve">Asset </t>
  </si>
  <si>
    <t xml:space="preserve">Inventory </t>
  </si>
  <si>
    <t xml:space="preserve">Prepaid Expenses </t>
  </si>
  <si>
    <t xml:space="preserve">Equipment </t>
  </si>
  <si>
    <t xml:space="preserve">Owner's Equity </t>
  </si>
  <si>
    <t xml:space="preserve">Owner's Contribution </t>
  </si>
  <si>
    <t>Product Sales</t>
  </si>
  <si>
    <t xml:space="preserve">Marketing Expense </t>
  </si>
  <si>
    <t xml:space="preserve">Cost of Good Sold </t>
  </si>
  <si>
    <t xml:space="preserve">Accounts Payable </t>
  </si>
  <si>
    <t xml:space="preserve">Credit Card Payable </t>
  </si>
  <si>
    <t xml:space="preserve">Software Subscriptions </t>
  </si>
  <si>
    <t>Supplies Expense</t>
  </si>
  <si>
    <t>Shipping Expense</t>
  </si>
  <si>
    <t xml:space="preserve">Liability </t>
  </si>
  <si>
    <t>Equity</t>
  </si>
  <si>
    <t xml:space="preserve">Revenue </t>
  </si>
  <si>
    <t>Expense</t>
  </si>
  <si>
    <t>Date</t>
  </si>
  <si>
    <t xml:space="preserve">Account Number </t>
  </si>
  <si>
    <t>Account Name</t>
  </si>
  <si>
    <t>Debit</t>
  </si>
  <si>
    <t xml:space="preserve">Credit </t>
  </si>
  <si>
    <t xml:space="preserve">Description </t>
  </si>
  <si>
    <t>Owner contribution</t>
  </si>
  <si>
    <t>Inventory purchase</t>
  </si>
  <si>
    <t xml:space="preserve">Products sales </t>
  </si>
  <si>
    <t>Marketing Expense</t>
  </si>
  <si>
    <t>Ad spend</t>
  </si>
  <si>
    <t>Credit Card Payable</t>
  </si>
  <si>
    <t>Inventory used</t>
  </si>
  <si>
    <t>Cost of Goods Sold</t>
  </si>
  <si>
    <t xml:space="preserve">Shipping </t>
  </si>
  <si>
    <t xml:space="preserve">Shipping Expense </t>
  </si>
  <si>
    <t xml:space="preserve">Software Subscription </t>
  </si>
  <si>
    <t xml:space="preserve">Software </t>
  </si>
  <si>
    <t>Equipment Purchase</t>
  </si>
  <si>
    <t xml:space="preserve">Supplies </t>
  </si>
  <si>
    <t>Debit Total</t>
  </si>
  <si>
    <t>Credit Total</t>
  </si>
  <si>
    <t xml:space="preserve">Balance </t>
  </si>
  <si>
    <t xml:space="preserve">Accounts Receivable </t>
  </si>
  <si>
    <t>Prepaid Expenses</t>
  </si>
  <si>
    <t xml:space="preserve">Owner's Contributions </t>
  </si>
  <si>
    <t>Owner's Contributions</t>
  </si>
  <si>
    <t xml:space="preserve">Product Sales </t>
  </si>
  <si>
    <t xml:space="preserve">Supplies Expense </t>
  </si>
  <si>
    <t xml:space="preserve">Total </t>
  </si>
  <si>
    <t>LuxeGlow Skincare</t>
  </si>
  <si>
    <t xml:space="preserve">Income Statement </t>
  </si>
  <si>
    <t>For Month Ended January 31,2025</t>
  </si>
  <si>
    <t xml:space="preserve">Net Income </t>
  </si>
  <si>
    <t xml:space="preserve">Assets </t>
  </si>
  <si>
    <t xml:space="preserve">Liabilities </t>
  </si>
  <si>
    <t xml:space="preserve">Retained Earnings </t>
  </si>
  <si>
    <t>Total</t>
  </si>
  <si>
    <t>Expenses</t>
  </si>
  <si>
    <t xml:space="preserve">Total Assets </t>
  </si>
  <si>
    <t xml:space="preserve"> </t>
  </si>
  <si>
    <t xml:space="preserve">January 2025  Finacial Dashboard </t>
  </si>
  <si>
    <t xml:space="preserve">Total Revenue </t>
  </si>
  <si>
    <t xml:space="preserve">Total Expenses </t>
  </si>
  <si>
    <t xml:space="preserve">Ending Cash Balance </t>
  </si>
  <si>
    <t xml:space="preserve">Expense Category </t>
  </si>
  <si>
    <t xml:space="preserve">Amount </t>
  </si>
  <si>
    <t>COGS</t>
  </si>
  <si>
    <t xml:space="preserve">Marketing </t>
  </si>
  <si>
    <t>Total Expense</t>
  </si>
  <si>
    <t xml:space="preserve">Category </t>
  </si>
  <si>
    <t>Amount</t>
  </si>
  <si>
    <t xml:space="preserve">Expense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</si>
</sst>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quotePrefix="1"/>
    <xf numFmtId="0" fontId="1" fillId="0" borderId="0" xfId="0" applyFont="1" applyBorder="1" applyAlignment="1">
      <alignment wrapText="1"/>
    </xf>
    <xf numFmtId="0" fontId="0" fillId="0" borderId="0" xfId="0" applyAlignment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– January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'!$E$5</c:f>
              <c:strCache>
                <c:ptCount val="1"/>
                <c:pt idx="0">
                  <c:v>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'!$D$6:$D$9</c:f>
              <c:strCache>
                <c:ptCount val="4"/>
                <c:pt idx="0">
                  <c:v>COGS</c:v>
                </c:pt>
                <c:pt idx="1">
                  <c:v>Marketing </c:v>
                </c:pt>
                <c:pt idx="2">
                  <c:v>Software </c:v>
                </c:pt>
                <c:pt idx="3">
                  <c:v>Supplies </c:v>
                </c:pt>
              </c:strCache>
            </c:strRef>
          </c:cat>
          <c:val>
            <c:numRef>
              <c:f>'Dashboard '!$E$6:$E$9</c:f>
              <c:numCache>
                <c:formatCode>General</c:formatCode>
                <c:ptCount val="4"/>
                <c:pt idx="0">
                  <c:v>400</c:v>
                </c:pt>
                <c:pt idx="1">
                  <c:v>150</c:v>
                </c:pt>
                <c:pt idx="2">
                  <c:v>35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F-4440-B7A5-B1A6C848F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048128"/>
        <c:axId val="1046049920"/>
      </c:barChart>
      <c:catAx>
        <c:axId val="10460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49920"/>
        <c:crosses val="autoZero"/>
        <c:auto val="1"/>
        <c:lblAlgn val="ctr"/>
        <c:lblOffset val="100"/>
        <c:noMultiLvlLbl val="0"/>
      </c:catAx>
      <c:valAx>
        <c:axId val="10460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'!$E$13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'!$D$14:$D$17</c:f>
              <c:strCache>
                <c:ptCount val="2"/>
                <c:pt idx="0">
                  <c:v>Revenue </c:v>
                </c:pt>
                <c:pt idx="1">
                  <c:v>Expense </c:v>
                </c:pt>
              </c:strCache>
            </c:strRef>
          </c:cat>
          <c:val>
            <c:numRef>
              <c:f>'Dashboard '!$E$14:$E$17</c:f>
              <c:numCache>
                <c:formatCode>General</c:formatCode>
                <c:ptCount val="4"/>
                <c:pt idx="0">
                  <c:v>5000</c:v>
                </c:pt>
                <c:pt idx="1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B-2C4A-B51A-092FC7CD9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760832"/>
        <c:axId val="715762624"/>
      </c:barChart>
      <c:catAx>
        <c:axId val="71576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62624"/>
        <c:crosses val="autoZero"/>
        <c:auto val="1"/>
        <c:lblAlgn val="ctr"/>
        <c:lblOffset val="100"/>
        <c:noMultiLvlLbl val="0"/>
      </c:catAx>
      <c:valAx>
        <c:axId val="71576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6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162113</xdr:colOff>
      <xdr:row>1</xdr:row>
      <xdr:rowOff>149412</xdr:rowOff>
    </xdr:from>
    <xdr:to>
      <xdr:col>4</xdr:col>
      <xdr:colOff>801013</xdr:colOff>
      <xdr:row>11</xdr:row>
      <xdr:rowOff>16601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DA0E5-CA87-A3B6-AD15-8B64A9863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157713</xdr:colOff>
      <xdr:row>11</xdr:row>
      <xdr:rowOff>116209</xdr:rowOff>
    </xdr:from>
    <xdr:to>
      <xdr:col>5</xdr:col>
      <xdr:colOff>0</xdr:colOff>
      <xdr:row>22</xdr:row>
      <xdr:rowOff>145261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631021-F899-5628-8D6B-6EE9FC7A81AC}"/>
            </a:ext>
            <a:ext uri="{147F2762-F138-4A5C-976F-8EAC2B608ADB}">
              <a16:predDERef xmlns:a16="http://schemas.microsoft.com/office/drawing/2014/main" pred="{D98DA0E5-CA87-A3B6-AD15-8B64A9863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7C9D-5DCF-5D4C-A84D-7DDB58E80851}">
  <dimension ref="A1:C16"/>
  <sheetViews>
    <sheetView zoomScaleNormal="100" zoomScaleSheetLayoutView="100" workbookViewId="0">
      <selection activeCell="C7" sqref="C7"/>
    </sheetView>
  </sheetViews>
  <sheetFormatPr defaultRowHeight="15" x14ac:dyDescent="0.2"/>
  <cols>
    <col min="1" max="1" width="21.5234375" customWidth="1"/>
    <col min="2" max="2" width="22.8671875" customWidth="1"/>
    <col min="3" max="3" width="27.98046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101</v>
      </c>
      <c r="B2" t="s">
        <v>3</v>
      </c>
      <c r="C2" t="s">
        <v>4</v>
      </c>
    </row>
    <row r="3" spans="1:3" x14ac:dyDescent="0.2">
      <c r="A3" s="1">
        <v>105</v>
      </c>
      <c r="B3" t="s">
        <v>5</v>
      </c>
      <c r="C3" t="s">
        <v>6</v>
      </c>
    </row>
    <row r="4" spans="1:3" x14ac:dyDescent="0.2">
      <c r="A4" s="1">
        <v>110</v>
      </c>
      <c r="B4" t="s">
        <v>7</v>
      </c>
      <c r="C4" t="s">
        <v>4</v>
      </c>
    </row>
    <row r="5" spans="1:3" x14ac:dyDescent="0.2">
      <c r="A5" s="1">
        <v>120</v>
      </c>
      <c r="B5" t="s">
        <v>8</v>
      </c>
      <c r="C5" t="s">
        <v>4</v>
      </c>
    </row>
    <row r="6" spans="1:3" x14ac:dyDescent="0.2">
      <c r="A6" s="1">
        <v>160</v>
      </c>
      <c r="B6" t="s">
        <v>9</v>
      </c>
      <c r="C6" t="s">
        <v>4</v>
      </c>
    </row>
    <row r="7" spans="1:3" x14ac:dyDescent="0.2">
      <c r="A7" s="1">
        <v>201</v>
      </c>
      <c r="B7" t="s">
        <v>15</v>
      </c>
      <c r="C7" t="s">
        <v>20</v>
      </c>
    </row>
    <row r="8" spans="1:3" x14ac:dyDescent="0.2">
      <c r="A8" s="1">
        <v>210</v>
      </c>
      <c r="B8" t="s">
        <v>16</v>
      </c>
      <c r="C8" t="s">
        <v>20</v>
      </c>
    </row>
    <row r="9" spans="1:3" x14ac:dyDescent="0.2">
      <c r="A9" s="1">
        <v>300</v>
      </c>
      <c r="B9" t="s">
        <v>10</v>
      </c>
      <c r="C9" t="s">
        <v>21</v>
      </c>
    </row>
    <row r="10" spans="1:3" x14ac:dyDescent="0.2">
      <c r="A10" s="1">
        <v>310</v>
      </c>
      <c r="B10" t="s">
        <v>11</v>
      </c>
      <c r="C10" t="s">
        <v>21</v>
      </c>
    </row>
    <row r="11" spans="1:3" x14ac:dyDescent="0.2">
      <c r="A11" s="1">
        <v>400</v>
      </c>
      <c r="B11" t="s">
        <v>12</v>
      </c>
      <c r="C11" t="s">
        <v>22</v>
      </c>
    </row>
    <row r="12" spans="1:3" x14ac:dyDescent="0.2">
      <c r="A12" s="1">
        <v>501</v>
      </c>
      <c r="B12" t="s">
        <v>14</v>
      </c>
      <c r="C12" t="s">
        <v>23</v>
      </c>
    </row>
    <row r="13" spans="1:3" x14ac:dyDescent="0.2">
      <c r="A13" s="1">
        <v>510</v>
      </c>
      <c r="B13" t="s">
        <v>13</v>
      </c>
      <c r="C13" t="s">
        <v>23</v>
      </c>
    </row>
    <row r="14" spans="1:3" x14ac:dyDescent="0.2">
      <c r="A14" s="1">
        <v>520</v>
      </c>
      <c r="B14" t="s">
        <v>17</v>
      </c>
      <c r="C14" t="s">
        <v>23</v>
      </c>
    </row>
    <row r="15" spans="1:3" x14ac:dyDescent="0.2">
      <c r="A15" s="1">
        <v>530</v>
      </c>
      <c r="B15" t="s">
        <v>18</v>
      </c>
      <c r="C15" t="s">
        <v>23</v>
      </c>
    </row>
    <row r="16" spans="1:3" x14ac:dyDescent="0.2">
      <c r="A16" s="2">
        <v>540</v>
      </c>
      <c r="B16" t="s">
        <v>19</v>
      </c>
      <c r="C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D1CB-894E-0B48-8B23-18CE7121BF18}">
  <dimension ref="A1:F21"/>
  <sheetViews>
    <sheetView topLeftCell="B4" zoomScaleNormal="100" zoomScaleSheetLayoutView="100" workbookViewId="0">
      <selection activeCell="C22" sqref="C22"/>
    </sheetView>
  </sheetViews>
  <sheetFormatPr defaultRowHeight="15" x14ac:dyDescent="0.2"/>
  <cols>
    <col min="2" max="2" width="16.94921875" customWidth="1"/>
    <col min="3" max="3" width="18.4296875" customWidth="1"/>
  </cols>
  <sheetData>
    <row r="1" spans="1:6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">
      <c r="A2" s="3">
        <v>45658</v>
      </c>
      <c r="B2">
        <v>101</v>
      </c>
      <c r="C2" t="s">
        <v>3</v>
      </c>
      <c r="D2">
        <v>5000</v>
      </c>
      <c r="F2" t="s">
        <v>30</v>
      </c>
    </row>
    <row r="3" spans="1:6" x14ac:dyDescent="0.2">
      <c r="A3" s="3">
        <v>45658</v>
      </c>
      <c r="B3">
        <v>310</v>
      </c>
      <c r="C3" t="s">
        <v>49</v>
      </c>
      <c r="E3">
        <v>5000</v>
      </c>
      <c r="F3" t="s">
        <v>30</v>
      </c>
    </row>
    <row r="4" spans="1:6" x14ac:dyDescent="0.2">
      <c r="A4" s="3">
        <v>45660</v>
      </c>
      <c r="B4">
        <v>110</v>
      </c>
      <c r="C4" t="s">
        <v>7</v>
      </c>
      <c r="D4">
        <v>1200</v>
      </c>
      <c r="F4" t="s">
        <v>31</v>
      </c>
    </row>
    <row r="5" spans="1:6" x14ac:dyDescent="0.2">
      <c r="A5" s="3">
        <v>45660</v>
      </c>
      <c r="B5">
        <v>101</v>
      </c>
      <c r="C5" t="s">
        <v>3</v>
      </c>
      <c r="E5">
        <v>1200</v>
      </c>
      <c r="F5" t="s">
        <v>31</v>
      </c>
    </row>
    <row r="6" spans="1:6" x14ac:dyDescent="0.2">
      <c r="A6" s="3">
        <v>45664</v>
      </c>
      <c r="B6">
        <v>101</v>
      </c>
      <c r="C6" t="s">
        <v>3</v>
      </c>
      <c r="D6">
        <v>2000</v>
      </c>
      <c r="F6" t="s">
        <v>32</v>
      </c>
    </row>
    <row r="7" spans="1:6" x14ac:dyDescent="0.2">
      <c r="A7" s="3">
        <v>45664</v>
      </c>
      <c r="B7">
        <v>400</v>
      </c>
      <c r="C7" t="s">
        <v>12</v>
      </c>
      <c r="E7">
        <v>2000</v>
      </c>
      <c r="F7" t="s">
        <v>32</v>
      </c>
    </row>
    <row r="8" spans="1:6" x14ac:dyDescent="0.2">
      <c r="A8" s="3">
        <v>45666</v>
      </c>
      <c r="B8">
        <v>510</v>
      </c>
      <c r="C8" t="s">
        <v>33</v>
      </c>
      <c r="D8">
        <v>150</v>
      </c>
      <c r="F8" t="s">
        <v>34</v>
      </c>
    </row>
    <row r="9" spans="1:6" x14ac:dyDescent="0.2">
      <c r="A9" s="3">
        <v>45666</v>
      </c>
      <c r="B9">
        <v>210</v>
      </c>
      <c r="C9" t="s">
        <v>35</v>
      </c>
      <c r="E9">
        <v>150</v>
      </c>
      <c r="F9" t="s">
        <v>34</v>
      </c>
    </row>
    <row r="10" spans="1:6" x14ac:dyDescent="0.2">
      <c r="A10" s="3">
        <v>45667</v>
      </c>
      <c r="B10">
        <v>501</v>
      </c>
      <c r="C10" t="s">
        <v>37</v>
      </c>
      <c r="D10">
        <v>400</v>
      </c>
      <c r="F10" t="s">
        <v>36</v>
      </c>
    </row>
    <row r="11" spans="1:6" x14ac:dyDescent="0.2">
      <c r="A11" s="3">
        <v>45667</v>
      </c>
      <c r="B11">
        <v>110</v>
      </c>
      <c r="C11" t="s">
        <v>7</v>
      </c>
      <c r="E11">
        <v>400</v>
      </c>
      <c r="F11" t="s">
        <v>36</v>
      </c>
    </row>
    <row r="12" spans="1:6" x14ac:dyDescent="0.2">
      <c r="A12" s="3">
        <v>45669</v>
      </c>
      <c r="B12">
        <v>540</v>
      </c>
      <c r="C12" t="s">
        <v>39</v>
      </c>
      <c r="D12">
        <v>85</v>
      </c>
      <c r="F12" t="s">
        <v>38</v>
      </c>
    </row>
    <row r="13" spans="1:6" x14ac:dyDescent="0.2">
      <c r="A13" s="3">
        <v>45669</v>
      </c>
      <c r="B13">
        <v>101</v>
      </c>
      <c r="C13" t="s">
        <v>3</v>
      </c>
      <c r="E13">
        <v>85</v>
      </c>
      <c r="F13" t="s">
        <v>38</v>
      </c>
    </row>
    <row r="14" spans="1:6" x14ac:dyDescent="0.2">
      <c r="A14" s="3">
        <v>45671</v>
      </c>
      <c r="B14">
        <v>520</v>
      </c>
      <c r="C14" t="s">
        <v>40</v>
      </c>
      <c r="D14">
        <v>35</v>
      </c>
      <c r="F14" t="s">
        <v>41</v>
      </c>
    </row>
    <row r="15" spans="1:6" x14ac:dyDescent="0.2">
      <c r="A15" s="3">
        <v>45671</v>
      </c>
      <c r="B15">
        <v>101</v>
      </c>
      <c r="C15" t="s">
        <v>3</v>
      </c>
      <c r="E15">
        <v>35</v>
      </c>
      <c r="F15" t="s">
        <v>41</v>
      </c>
    </row>
    <row r="16" spans="1:6" x14ac:dyDescent="0.2">
      <c r="A16" s="3">
        <v>45677</v>
      </c>
      <c r="B16">
        <v>160</v>
      </c>
      <c r="C16" t="s">
        <v>9</v>
      </c>
      <c r="D16">
        <v>800</v>
      </c>
      <c r="F16" t="s">
        <v>42</v>
      </c>
    </row>
    <row r="17" spans="1:6" x14ac:dyDescent="0.2">
      <c r="A17" s="3">
        <v>45677</v>
      </c>
      <c r="B17">
        <v>101</v>
      </c>
      <c r="C17" t="s">
        <v>3</v>
      </c>
      <c r="E17">
        <v>800</v>
      </c>
      <c r="F17" t="s">
        <v>9</v>
      </c>
    </row>
    <row r="18" spans="1:6" x14ac:dyDescent="0.2">
      <c r="A18" s="3">
        <v>45683</v>
      </c>
      <c r="B18">
        <v>101</v>
      </c>
      <c r="C18" t="s">
        <v>3</v>
      </c>
      <c r="D18">
        <v>3000</v>
      </c>
      <c r="F18" t="s">
        <v>32</v>
      </c>
    </row>
    <row r="19" spans="1:6" x14ac:dyDescent="0.2">
      <c r="A19" s="3">
        <v>45683</v>
      </c>
      <c r="B19">
        <v>400</v>
      </c>
      <c r="C19" t="s">
        <v>12</v>
      </c>
      <c r="E19">
        <v>3000</v>
      </c>
      <c r="F19" t="s">
        <v>32</v>
      </c>
    </row>
    <row r="20" spans="1:6" x14ac:dyDescent="0.2">
      <c r="A20" s="3">
        <v>45686</v>
      </c>
      <c r="B20">
        <v>530</v>
      </c>
      <c r="C20" t="s">
        <v>18</v>
      </c>
      <c r="D20">
        <v>60</v>
      </c>
      <c r="F20" t="s">
        <v>43</v>
      </c>
    </row>
    <row r="21" spans="1:6" x14ac:dyDescent="0.2">
      <c r="A21" s="3">
        <v>45686</v>
      </c>
      <c r="B21">
        <v>101</v>
      </c>
      <c r="C21" t="s">
        <v>3</v>
      </c>
      <c r="E21">
        <v>60</v>
      </c>
      <c r="F2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B51A-C7BA-5049-883F-3E1106146EBD}">
  <dimension ref="A1:E16"/>
  <sheetViews>
    <sheetView zoomScaleNormal="100" zoomScaleSheetLayoutView="100" workbookViewId="0">
      <selection activeCell="C17" sqref="C17"/>
    </sheetView>
  </sheetViews>
  <sheetFormatPr defaultRowHeight="15" x14ac:dyDescent="0.2"/>
  <cols>
    <col min="1" max="1" width="15.46875" customWidth="1"/>
    <col min="2" max="2" width="20.984375" customWidth="1"/>
    <col min="3" max="3" width="12.375" customWidth="1"/>
    <col min="4" max="4" width="13.046875" customWidth="1"/>
  </cols>
  <sheetData>
    <row r="1" spans="1:5" x14ac:dyDescent="0.2">
      <c r="A1" t="s">
        <v>25</v>
      </c>
      <c r="B1" t="s">
        <v>1</v>
      </c>
      <c r="C1" t="s">
        <v>44</v>
      </c>
      <c r="D1" t="s">
        <v>45</v>
      </c>
      <c r="E1" t="s">
        <v>46</v>
      </c>
    </row>
    <row r="2" spans="1:5" x14ac:dyDescent="0.2">
      <c r="A2" s="1">
        <v>101</v>
      </c>
      <c r="B2" t="s">
        <v>3</v>
      </c>
      <c r="C2" s="4">
        <f>SUMIFS('Journal Entries'!D:D,'Journal Entries'!B:B,A2)</f>
        <v>10000</v>
      </c>
      <c r="D2">
        <f>SUMIFS('Journal Entries'!E:E,'Journal Entries'!B:B,A2)</f>
        <v>2180</v>
      </c>
      <c r="E2">
        <f>C2-D2</f>
        <v>7820</v>
      </c>
    </row>
    <row r="3" spans="1:5" x14ac:dyDescent="0.2">
      <c r="A3" s="1">
        <v>105</v>
      </c>
      <c r="B3" t="s">
        <v>47</v>
      </c>
      <c r="C3" s="4">
        <f>SUMIFS('Journal Entries'!D:D,'Journal Entries'!B:B,A3)</f>
        <v>0</v>
      </c>
      <c r="D3">
        <f>SUMIFS('Journal Entries'!E:E,'Journal Entries'!B:B,A3)</f>
        <v>0</v>
      </c>
      <c r="E3">
        <f t="shared" ref="E3:E16" si="0">C3-D3</f>
        <v>0</v>
      </c>
    </row>
    <row r="4" spans="1:5" x14ac:dyDescent="0.2">
      <c r="A4" s="1">
        <v>110</v>
      </c>
      <c r="B4" t="s">
        <v>7</v>
      </c>
      <c r="C4" s="4">
        <f>SUMIFS('Journal Entries'!D:D,'Journal Entries'!B:B,A4)</f>
        <v>1200</v>
      </c>
      <c r="D4">
        <f>SUMIFS('Journal Entries'!E:E,'Journal Entries'!B:B,A4)</f>
        <v>400</v>
      </c>
      <c r="E4">
        <f t="shared" si="0"/>
        <v>800</v>
      </c>
    </row>
    <row r="5" spans="1:5" x14ac:dyDescent="0.2">
      <c r="A5" s="1">
        <v>120</v>
      </c>
      <c r="B5" t="s">
        <v>48</v>
      </c>
      <c r="C5" s="4">
        <f>SUMIFS('Journal Entries'!D:D,'Journal Entries'!B:B,A5)</f>
        <v>0</v>
      </c>
      <c r="D5">
        <f>SUMIFS('Journal Entries'!E:E,'Journal Entries'!B:B,A5)</f>
        <v>0</v>
      </c>
      <c r="E5">
        <f t="shared" si="0"/>
        <v>0</v>
      </c>
    </row>
    <row r="6" spans="1:5" x14ac:dyDescent="0.2">
      <c r="A6" s="1">
        <v>160</v>
      </c>
      <c r="B6" t="s">
        <v>9</v>
      </c>
      <c r="C6" s="4">
        <f>SUMIFS('Journal Entries'!D:D,'Journal Entries'!B:B,A6)</f>
        <v>800</v>
      </c>
      <c r="D6">
        <f>SUMIFS('Journal Entries'!E:E,'Journal Entries'!B:B,A6)</f>
        <v>0</v>
      </c>
      <c r="E6">
        <f t="shared" si="0"/>
        <v>800</v>
      </c>
    </row>
    <row r="7" spans="1:5" x14ac:dyDescent="0.2">
      <c r="A7" s="1">
        <v>201</v>
      </c>
      <c r="B7" t="s">
        <v>15</v>
      </c>
      <c r="C7" s="4">
        <f>SUMIFS('Journal Entries'!D:D,'Journal Entries'!B:B,A7)</f>
        <v>0</v>
      </c>
      <c r="D7">
        <f>SUMIFS('Journal Entries'!E:E,'Journal Entries'!B:B,A7)</f>
        <v>0</v>
      </c>
      <c r="E7">
        <f t="shared" si="0"/>
        <v>0</v>
      </c>
    </row>
    <row r="8" spans="1:5" x14ac:dyDescent="0.2">
      <c r="A8" s="1">
        <v>210</v>
      </c>
      <c r="B8" t="s">
        <v>16</v>
      </c>
      <c r="C8" s="4">
        <f>SUMIFS('Journal Entries'!D:D,'Journal Entries'!B:B,A8)</f>
        <v>0</v>
      </c>
      <c r="D8">
        <f>SUMIFS('Journal Entries'!E:E,'Journal Entries'!B:B,A8)</f>
        <v>150</v>
      </c>
      <c r="E8">
        <f t="shared" si="0"/>
        <v>-150</v>
      </c>
    </row>
    <row r="9" spans="1:5" x14ac:dyDescent="0.2">
      <c r="A9" s="1">
        <v>300</v>
      </c>
      <c r="B9" t="s">
        <v>10</v>
      </c>
      <c r="C9" s="4">
        <f>SUMIFS('Journal Entries'!D:D,'Journal Entries'!B:B,A9)</f>
        <v>0</v>
      </c>
      <c r="D9">
        <f>SUMIFS('Journal Entries'!E:E,'Journal Entries'!B:B,A9)</f>
        <v>0</v>
      </c>
      <c r="E9">
        <f t="shared" si="0"/>
        <v>0</v>
      </c>
    </row>
    <row r="10" spans="1:5" x14ac:dyDescent="0.2">
      <c r="A10" s="1">
        <v>310</v>
      </c>
      <c r="B10" t="s">
        <v>49</v>
      </c>
      <c r="C10" s="4">
        <f>SUMIFS('Journal Entries'!D:D,'Journal Entries'!B:B,A10)</f>
        <v>0</v>
      </c>
      <c r="D10">
        <f>SUMIFS('Journal Entries'!E:E,'Journal Entries'!B:B,A10)</f>
        <v>5000</v>
      </c>
      <c r="E10">
        <f t="shared" si="0"/>
        <v>-5000</v>
      </c>
    </row>
    <row r="11" spans="1:5" x14ac:dyDescent="0.2">
      <c r="A11" s="1">
        <v>400</v>
      </c>
      <c r="B11" t="s">
        <v>12</v>
      </c>
      <c r="C11" s="4">
        <f>SUMIFS('Journal Entries'!D:D,'Journal Entries'!B:B,A11)</f>
        <v>0</v>
      </c>
      <c r="D11">
        <f>SUMIFS('Journal Entries'!E:E,'Journal Entries'!B:B,A11)</f>
        <v>5000</v>
      </c>
      <c r="E11">
        <f t="shared" si="0"/>
        <v>-5000</v>
      </c>
    </row>
    <row r="12" spans="1:5" x14ac:dyDescent="0.2">
      <c r="A12" s="1">
        <v>501</v>
      </c>
      <c r="B12" t="s">
        <v>37</v>
      </c>
      <c r="C12" s="4">
        <f>SUMIFS('Journal Entries'!D:D,'Journal Entries'!B:B,A12)</f>
        <v>400</v>
      </c>
      <c r="D12">
        <f>SUMIFS('Journal Entries'!E:E,'Journal Entries'!B:B,A12)</f>
        <v>0</v>
      </c>
      <c r="E12">
        <f t="shared" si="0"/>
        <v>400</v>
      </c>
    </row>
    <row r="13" spans="1:5" x14ac:dyDescent="0.2">
      <c r="A13" s="1">
        <v>510</v>
      </c>
      <c r="B13" t="s">
        <v>13</v>
      </c>
      <c r="C13" s="4">
        <f>SUMIFS('Journal Entries'!D:D,'Journal Entries'!B:B,A13)</f>
        <v>150</v>
      </c>
      <c r="D13">
        <f>SUMIFS('Journal Entries'!E:E,'Journal Entries'!B:B,A13)</f>
        <v>0</v>
      </c>
      <c r="E13">
        <f t="shared" si="0"/>
        <v>150</v>
      </c>
    </row>
    <row r="14" spans="1:5" x14ac:dyDescent="0.2">
      <c r="A14" s="2">
        <v>520</v>
      </c>
      <c r="B14" t="s">
        <v>17</v>
      </c>
      <c r="C14" s="4">
        <f>SUMIFS('Journal Entries'!D:D,'Journal Entries'!B:B,A14)</f>
        <v>35</v>
      </c>
      <c r="D14">
        <f>SUMIFS('Journal Entries'!E:E,'Journal Entries'!B:B,A14)</f>
        <v>0</v>
      </c>
      <c r="E14">
        <f t="shared" si="0"/>
        <v>35</v>
      </c>
    </row>
    <row r="15" spans="1:5" x14ac:dyDescent="0.2">
      <c r="A15" s="1">
        <v>530</v>
      </c>
      <c r="B15" t="s">
        <v>18</v>
      </c>
      <c r="C15" s="4">
        <f>SUMIFS('Journal Entries'!D:D,'Journal Entries'!B:B,A15)</f>
        <v>60</v>
      </c>
      <c r="D15">
        <f>SUMIFS('Journal Entries'!E:E,'Journal Entries'!B:B,A15)</f>
        <v>0</v>
      </c>
      <c r="E15">
        <f t="shared" si="0"/>
        <v>60</v>
      </c>
    </row>
    <row r="16" spans="1:5" x14ac:dyDescent="0.2">
      <c r="A16" s="1">
        <v>540</v>
      </c>
      <c r="B16" t="s">
        <v>19</v>
      </c>
      <c r="C16" s="4">
        <f>SUMIFS('Journal Entries'!D:D,'Journal Entries'!B:B,A16)</f>
        <v>85</v>
      </c>
      <c r="D16">
        <f>SUMIFS('Journal Entries'!E:E,'Journal Entries'!B:B,A16)</f>
        <v>0</v>
      </c>
      <c r="E16">
        <f t="shared" si="0"/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C4C6-CDA9-3343-BD72-3DE0CBEC974D}">
  <dimension ref="A1:F23"/>
  <sheetViews>
    <sheetView zoomScaleNormal="100" zoomScaleSheetLayoutView="100" workbookViewId="0">
      <selection activeCell="C18" sqref="C18"/>
    </sheetView>
  </sheetViews>
  <sheetFormatPr defaultRowHeight="15" x14ac:dyDescent="0.2"/>
  <cols>
    <col min="1" max="1" width="20.58203125" customWidth="1"/>
  </cols>
  <sheetData>
    <row r="1" spans="1:3" x14ac:dyDescent="0.2">
      <c r="A1" t="s">
        <v>26</v>
      </c>
      <c r="B1" t="s">
        <v>27</v>
      </c>
      <c r="C1" t="s">
        <v>28</v>
      </c>
    </row>
    <row r="2" spans="1:3" x14ac:dyDescent="0.2">
      <c r="A2" t="s">
        <v>3</v>
      </c>
      <c r="B2" s="5">
        <f>IF('General Ledger'!E2&gt;0,'General Ledger'!E2,"")</f>
        <v>7820</v>
      </c>
      <c r="C2" t="str">
        <f>IF('General Ledger'!E2&lt;0,ABS('General Ledger'!E2),"")</f>
        <v/>
      </c>
    </row>
    <row r="3" spans="1:3" x14ac:dyDescent="0.2">
      <c r="A3" t="s">
        <v>47</v>
      </c>
      <c r="B3" s="5" t="str">
        <f>IF('General Ledger'!E3&gt;0,'General Ledger'!E3,"")</f>
        <v/>
      </c>
      <c r="C3" t="str">
        <f>IF('General Ledger'!E3&lt;0,ABS('General Ledger'!E3),"")</f>
        <v/>
      </c>
    </row>
    <row r="4" spans="1:3" x14ac:dyDescent="0.2">
      <c r="A4" t="s">
        <v>7</v>
      </c>
      <c r="B4" s="5">
        <f>IF('General Ledger'!E4&gt;0,'General Ledger'!E4,"")</f>
        <v>800</v>
      </c>
      <c r="C4" t="str">
        <f>IF('General Ledger'!E4&lt;0,ABS('General Ledger'!E4),"")</f>
        <v/>
      </c>
    </row>
    <row r="5" spans="1:3" x14ac:dyDescent="0.2">
      <c r="A5" t="s">
        <v>8</v>
      </c>
      <c r="B5" s="5" t="str">
        <f>IF('General Ledger'!E5&gt;0,'General Ledger'!E5,"")</f>
        <v/>
      </c>
      <c r="C5" t="str">
        <f>IF('General Ledger'!E5&lt;0,ABS('General Ledger'!E5),"")</f>
        <v/>
      </c>
    </row>
    <row r="6" spans="1:3" x14ac:dyDescent="0.2">
      <c r="A6" t="s">
        <v>9</v>
      </c>
      <c r="B6" s="5">
        <f>IF('General Ledger'!E6&gt;0,'General Ledger'!E6,"")</f>
        <v>800</v>
      </c>
      <c r="C6" t="str">
        <f>IF('General Ledger'!E6&lt;0,ABS('General Ledger'!E6),"")</f>
        <v/>
      </c>
    </row>
    <row r="7" spans="1:3" x14ac:dyDescent="0.2">
      <c r="A7" t="s">
        <v>15</v>
      </c>
      <c r="B7" s="5" t="str">
        <f>IF('General Ledger'!E7&gt;0,'General Ledger'!E7,"")</f>
        <v/>
      </c>
      <c r="C7" t="str">
        <f>IF('General Ledger'!E7&lt;0,ABS('General Ledger'!E7),"")</f>
        <v/>
      </c>
    </row>
    <row r="8" spans="1:3" x14ac:dyDescent="0.2">
      <c r="A8" t="s">
        <v>16</v>
      </c>
      <c r="B8" s="5" t="str">
        <f>IF('General Ledger'!E8&gt;0,'General Ledger'!E8,"")</f>
        <v/>
      </c>
      <c r="C8">
        <f>IF('General Ledger'!E8&lt;0,ABS('General Ledger'!E8),"")</f>
        <v>150</v>
      </c>
    </row>
    <row r="9" spans="1:3" x14ac:dyDescent="0.2">
      <c r="A9" t="s">
        <v>10</v>
      </c>
      <c r="B9" s="5" t="str">
        <f>IF('General Ledger'!E9&gt;0,'General Ledger'!E9,"")</f>
        <v/>
      </c>
      <c r="C9" t="str">
        <f>IF('General Ledger'!E9&lt;0,ABS('General Ledger'!E9),"")</f>
        <v/>
      </c>
    </row>
    <row r="10" spans="1:3" x14ac:dyDescent="0.2">
      <c r="A10" t="s">
        <v>50</v>
      </c>
      <c r="B10" s="5" t="str">
        <f>IF('General Ledger'!E10&gt;0,'General Ledger'!E10,"")</f>
        <v/>
      </c>
      <c r="C10">
        <f>IF('General Ledger'!E10&lt;0,ABS('General Ledger'!E10),"")</f>
        <v>5000</v>
      </c>
    </row>
    <row r="11" spans="1:3" x14ac:dyDescent="0.2">
      <c r="A11" t="s">
        <v>51</v>
      </c>
      <c r="B11" s="5" t="str">
        <f>IF('General Ledger'!E11&gt;0,'General Ledger'!E11,"")</f>
        <v/>
      </c>
      <c r="C11">
        <f>IF('General Ledger'!E11&lt;0,ABS('General Ledger'!E11),"")</f>
        <v>5000</v>
      </c>
    </row>
    <row r="12" spans="1:3" x14ac:dyDescent="0.2">
      <c r="A12" t="s">
        <v>37</v>
      </c>
      <c r="B12" s="5">
        <f>IF('General Ledger'!E12&gt;0,'General Ledger'!E12,"")</f>
        <v>400</v>
      </c>
      <c r="C12" t="str">
        <f>IF('General Ledger'!E12&lt;0,ABS('General Ledger'!E12),"")</f>
        <v/>
      </c>
    </row>
    <row r="13" spans="1:3" x14ac:dyDescent="0.2">
      <c r="A13" t="s">
        <v>13</v>
      </c>
      <c r="B13" s="5">
        <f>IF('General Ledger'!E13&gt;0,'General Ledger'!E13,"")</f>
        <v>150</v>
      </c>
      <c r="C13" t="str">
        <f>IF('General Ledger'!E13&lt;0,ABS('General Ledger'!E13),"")</f>
        <v/>
      </c>
    </row>
    <row r="14" spans="1:3" x14ac:dyDescent="0.2">
      <c r="A14" t="s">
        <v>17</v>
      </c>
      <c r="B14" s="5">
        <f>IF('General Ledger'!E14&gt;0,'General Ledger'!E14,"")</f>
        <v>35</v>
      </c>
      <c r="C14" t="str">
        <f>IF('General Ledger'!E14&lt;0,ABS('General Ledger'!E14),"")</f>
        <v/>
      </c>
    </row>
    <row r="15" spans="1:3" x14ac:dyDescent="0.2">
      <c r="A15" t="s">
        <v>52</v>
      </c>
      <c r="B15" s="5">
        <f>IF('General Ledger'!E15&gt;0,'General Ledger'!E15,"")</f>
        <v>60</v>
      </c>
      <c r="C15" t="str">
        <f>IF('General Ledger'!E15&lt;0,ABS('General Ledger'!E15),"")</f>
        <v/>
      </c>
    </row>
    <row r="16" spans="1:3" x14ac:dyDescent="0.2">
      <c r="A16" t="s">
        <v>19</v>
      </c>
      <c r="B16" s="5">
        <f>IF('General Ledger'!E16&gt;0,'General Ledger'!E16,"")</f>
        <v>85</v>
      </c>
      <c r="C16" t="str">
        <f>IF('General Ledger'!E16&lt;0,ABS('General Ledger'!E16),"")</f>
        <v/>
      </c>
    </row>
    <row r="18" spans="1:6" x14ac:dyDescent="0.2">
      <c r="A18" t="s">
        <v>53</v>
      </c>
      <c r="B18">
        <f>SUM(B2:B16)</f>
        <v>10150</v>
      </c>
      <c r="C18">
        <f>SUM(C2:C16)</f>
        <v>10150</v>
      </c>
    </row>
    <row r="23" spans="1:6" x14ac:dyDescent="0.2">
      <c r="F2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A4766-69AA-9149-BCA2-8D91690CA5C1}">
  <dimension ref="A1:B17"/>
  <sheetViews>
    <sheetView zoomScaleNormal="100" zoomScaleSheetLayoutView="100" workbookViewId="0">
      <selection activeCell="B17" sqref="B17"/>
    </sheetView>
  </sheetViews>
  <sheetFormatPr defaultRowHeight="15" x14ac:dyDescent="0.2"/>
  <cols>
    <col min="1" max="1" width="30.40234375" customWidth="1"/>
  </cols>
  <sheetData>
    <row r="1" spans="1:2" x14ac:dyDescent="0.2">
      <c r="A1" t="s">
        <v>54</v>
      </c>
    </row>
    <row r="2" spans="1:2" x14ac:dyDescent="0.2">
      <c r="A2" t="s">
        <v>55</v>
      </c>
    </row>
    <row r="3" spans="1:2" x14ac:dyDescent="0.2">
      <c r="A3" t="s">
        <v>56</v>
      </c>
    </row>
    <row r="5" spans="1:2" x14ac:dyDescent="0.2">
      <c r="A5" s="11" t="s">
        <v>22</v>
      </c>
      <c r="B5" s="11"/>
    </row>
    <row r="6" spans="1:2" x14ac:dyDescent="0.2">
      <c r="A6" t="s">
        <v>12</v>
      </c>
      <c r="B6">
        <f>ABS('Trial Balance'!C11)</f>
        <v>5000</v>
      </c>
    </row>
    <row r="7" spans="1:2" x14ac:dyDescent="0.2">
      <c r="A7" t="s">
        <v>66</v>
      </c>
      <c r="B7">
        <f>SUM(B6)</f>
        <v>5000</v>
      </c>
    </row>
    <row r="9" spans="1:2" x14ac:dyDescent="0.2">
      <c r="A9" s="11" t="s">
        <v>62</v>
      </c>
      <c r="B9" s="11"/>
    </row>
    <row r="10" spans="1:2" x14ac:dyDescent="0.2">
      <c r="A10" s="6" t="s">
        <v>37</v>
      </c>
      <c r="B10">
        <f>SUMIF('Trial Balance'!A:A,A10,'Trial Balance'!B:B)</f>
        <v>400</v>
      </c>
    </row>
    <row r="11" spans="1:2" x14ac:dyDescent="0.2">
      <c r="A11" s="6" t="s">
        <v>13</v>
      </c>
      <c r="B11">
        <f>SUMIF('Trial Balance'!A:A,A11,'Trial Balance'!B:B)</f>
        <v>150</v>
      </c>
    </row>
    <row r="12" spans="1:2" x14ac:dyDescent="0.2">
      <c r="A12" s="6" t="s">
        <v>17</v>
      </c>
      <c r="B12">
        <f>SUMIF('Trial Balance'!A:A,A12,'Trial Balance'!B:B)</f>
        <v>35</v>
      </c>
    </row>
    <row r="13" spans="1:2" x14ac:dyDescent="0.2">
      <c r="A13" s="6" t="s">
        <v>52</v>
      </c>
      <c r="B13">
        <f>SUMIF('Trial Balance'!A:A,A13,'Trial Balance'!B:B)</f>
        <v>60</v>
      </c>
    </row>
    <row r="14" spans="1:2" x14ac:dyDescent="0.2">
      <c r="A14" s="6" t="s">
        <v>19</v>
      </c>
      <c r="B14">
        <f>SUMIF('Trial Balance'!A:A,A14,'Trial Balance'!B:B)</f>
        <v>85</v>
      </c>
    </row>
    <row r="15" spans="1:2" x14ac:dyDescent="0.2">
      <c r="A15" s="6" t="s">
        <v>73</v>
      </c>
      <c r="B15">
        <f>SUM(B10:B14)</f>
        <v>730</v>
      </c>
    </row>
    <row r="17" spans="1:2" x14ac:dyDescent="0.2">
      <c r="A17" t="s">
        <v>57</v>
      </c>
      <c r="B17">
        <f>B7-B15</f>
        <v>4270</v>
      </c>
    </row>
  </sheetData>
  <mergeCells count="2">
    <mergeCell ref="A5:B5"/>
    <mergeCell ref="A9:B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FDC4-994D-BB4A-A0BB-61119BECF7E3}">
  <dimension ref="A1:C20"/>
  <sheetViews>
    <sheetView tabSelected="1" zoomScaleNormal="100" zoomScaleSheetLayoutView="100" workbookViewId="0">
      <selection activeCell="A20" sqref="A20"/>
    </sheetView>
  </sheetViews>
  <sheetFormatPr defaultRowHeight="15" x14ac:dyDescent="0.2"/>
  <cols>
    <col min="1" max="1" width="20.71484375" customWidth="1"/>
  </cols>
  <sheetData>
    <row r="1" spans="1:3" x14ac:dyDescent="0.2">
      <c r="A1" s="11" t="s">
        <v>58</v>
      </c>
      <c r="B1" s="11"/>
    </row>
    <row r="2" spans="1:3" x14ac:dyDescent="0.2">
      <c r="A2" t="s">
        <v>3</v>
      </c>
      <c r="B2">
        <f>ABS('Trial Balance'!B2)</f>
        <v>7820</v>
      </c>
    </row>
    <row r="3" spans="1:3" x14ac:dyDescent="0.2">
      <c r="A3" t="s">
        <v>47</v>
      </c>
      <c r="B3">
        <v>0</v>
      </c>
    </row>
    <row r="4" spans="1:3" x14ac:dyDescent="0.2">
      <c r="A4" t="s">
        <v>7</v>
      </c>
      <c r="B4">
        <f>ABS('Trial Balance'!B4)</f>
        <v>800</v>
      </c>
    </row>
    <row r="5" spans="1:3" x14ac:dyDescent="0.2">
      <c r="A5" t="s">
        <v>8</v>
      </c>
      <c r="B5">
        <v>0</v>
      </c>
    </row>
    <row r="6" spans="1:3" x14ac:dyDescent="0.2">
      <c r="A6" t="s">
        <v>9</v>
      </c>
      <c r="B6">
        <f>ABS('Trial Balance'!B6)</f>
        <v>800</v>
      </c>
    </row>
    <row r="8" spans="1:3" x14ac:dyDescent="0.2">
      <c r="A8" t="s">
        <v>61</v>
      </c>
      <c r="C8">
        <f>(B2+B3+B4+B5+B6)</f>
        <v>9420</v>
      </c>
    </row>
    <row r="9" spans="1:3" x14ac:dyDescent="0.2">
      <c r="A9" s="11" t="s">
        <v>59</v>
      </c>
      <c r="B9" s="11"/>
    </row>
    <row r="10" spans="1:3" x14ac:dyDescent="0.2">
      <c r="A10" t="s">
        <v>15</v>
      </c>
      <c r="B10">
        <v>0</v>
      </c>
    </row>
    <row r="11" spans="1:3" x14ac:dyDescent="0.2">
      <c r="A11" t="s">
        <v>16</v>
      </c>
      <c r="B11">
        <f>ABS('Trial Balance'!C8)</f>
        <v>150</v>
      </c>
    </row>
    <row r="13" spans="1:3" x14ac:dyDescent="0.2">
      <c r="A13" t="s">
        <v>61</v>
      </c>
      <c r="C13">
        <f>(B10+B11)</f>
        <v>150</v>
      </c>
    </row>
    <row r="14" spans="1:3" x14ac:dyDescent="0.2">
      <c r="A14" s="11" t="s">
        <v>21</v>
      </c>
      <c r="B14" s="11"/>
    </row>
    <row r="15" spans="1:3" x14ac:dyDescent="0.2">
      <c r="A15" t="s">
        <v>49</v>
      </c>
      <c r="B15">
        <f>ABS('Trial Balance'!C10)</f>
        <v>5000</v>
      </c>
    </row>
    <row r="16" spans="1:3" x14ac:dyDescent="0.2">
      <c r="A16" t="s">
        <v>60</v>
      </c>
      <c r="B16">
        <f>ABS('Income Statement '!B17)</f>
        <v>4270</v>
      </c>
    </row>
    <row r="18" spans="1:3" x14ac:dyDescent="0.2">
      <c r="A18" t="s">
        <v>61</v>
      </c>
      <c r="C18">
        <f>(B15+B16)</f>
        <v>9270</v>
      </c>
    </row>
    <row r="19" spans="1:3" x14ac:dyDescent="0.2">
      <c r="A19" t="s">
        <v>64</v>
      </c>
    </row>
    <row r="20" spans="1:3" x14ac:dyDescent="0.2">
      <c r="A20" t="s">
        <v>63</v>
      </c>
      <c r="B20">
        <f>C13+C18</f>
        <v>9420</v>
      </c>
    </row>
  </sheetData>
  <mergeCells count="3">
    <mergeCell ref="A1:B1"/>
    <mergeCell ref="A9:B9"/>
    <mergeCell ref="A14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874A-7C4A-B34D-96A0-121F03504424}">
  <dimension ref="A1:E15"/>
  <sheetViews>
    <sheetView showGridLines="0" zoomScaleNormal="100" zoomScaleSheetLayoutView="100" workbookViewId="0">
      <selection activeCell="E46" sqref="E46"/>
    </sheetView>
  </sheetViews>
  <sheetFormatPr defaultRowHeight="15" x14ac:dyDescent="0.2"/>
  <cols>
    <col min="1" max="1" width="15.73828125" customWidth="1"/>
    <col min="2" max="2" width="12.10546875" customWidth="1"/>
    <col min="3" max="3" width="13.31640625" customWidth="1"/>
    <col min="4" max="4" width="15.6015625" customWidth="1"/>
    <col min="5" max="5" width="10.0859375" customWidth="1"/>
    <col min="6" max="6" width="16.94921875" customWidth="1"/>
  </cols>
  <sheetData>
    <row r="1" spans="1:5" ht="24.75" x14ac:dyDescent="0.35">
      <c r="A1" s="8" t="s">
        <v>54</v>
      </c>
    </row>
    <row r="2" spans="1:5" x14ac:dyDescent="0.2">
      <c r="A2" s="9" t="s">
        <v>65</v>
      </c>
    </row>
    <row r="5" spans="1:5" x14ac:dyDescent="0.2">
      <c r="D5" t="s">
        <v>69</v>
      </c>
      <c r="E5" t="s">
        <v>70</v>
      </c>
    </row>
    <row r="6" spans="1:5" ht="17.25" x14ac:dyDescent="0.25">
      <c r="A6" t="s">
        <v>66</v>
      </c>
      <c r="B6" s="10">
        <f>'Income Statement '!B7</f>
        <v>5000</v>
      </c>
      <c r="D6" t="s">
        <v>71</v>
      </c>
      <c r="E6" s="5">
        <f>'Trial Balance'!B12</f>
        <v>400</v>
      </c>
    </row>
    <row r="7" spans="1:5" ht="17.25" x14ac:dyDescent="0.25">
      <c r="A7" t="s">
        <v>67</v>
      </c>
      <c r="B7" s="10">
        <f>'Income Statement '!B15</f>
        <v>730</v>
      </c>
      <c r="D7" t="s">
        <v>72</v>
      </c>
      <c r="E7" s="5">
        <f>'Trial Balance'!B13</f>
        <v>150</v>
      </c>
    </row>
    <row r="8" spans="1:5" ht="17.25" x14ac:dyDescent="0.25">
      <c r="A8" t="s">
        <v>57</v>
      </c>
      <c r="B8" s="10">
        <f>B6-B7</f>
        <v>4270</v>
      </c>
      <c r="D8" t="s">
        <v>41</v>
      </c>
      <c r="E8" s="5">
        <f>'Trial Balance'!B14</f>
        <v>35</v>
      </c>
    </row>
    <row r="9" spans="1:5" ht="17.25" x14ac:dyDescent="0.25">
      <c r="A9" t="s">
        <v>68</v>
      </c>
      <c r="B9" s="10">
        <f>SUMIF('Trial Balance'!A:A,"Cash",'Trial Balance'!B:B)</f>
        <v>7820</v>
      </c>
      <c r="D9" t="s">
        <v>43</v>
      </c>
      <c r="E9" s="5">
        <f>'Trial Balance'!B15</f>
        <v>60</v>
      </c>
    </row>
    <row r="10" spans="1:5" x14ac:dyDescent="0.2">
      <c r="D10" t="s">
        <v>38</v>
      </c>
      <c r="E10" s="5">
        <f>'Trial Balance'!B16</f>
        <v>85</v>
      </c>
    </row>
    <row r="13" spans="1:5" x14ac:dyDescent="0.2">
      <c r="D13" t="s">
        <v>74</v>
      </c>
      <c r="E13" t="s">
        <v>75</v>
      </c>
    </row>
    <row r="14" spans="1:5" x14ac:dyDescent="0.2">
      <c r="D14" t="s">
        <v>22</v>
      </c>
      <c r="E14">
        <f>'Income Statement '!B7</f>
        <v>5000</v>
      </c>
    </row>
    <row r="15" spans="1:5" x14ac:dyDescent="0.2">
      <c r="D15" t="s">
        <v>76</v>
      </c>
      <c r="E15">
        <f>'Income Statement '!B15</f>
        <v>730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 of Accounts</vt:lpstr>
      <vt:lpstr>Journal Entries</vt:lpstr>
      <vt:lpstr>General Ledger</vt:lpstr>
      <vt:lpstr>Trial Balance</vt:lpstr>
      <vt:lpstr>Income Statement </vt:lpstr>
      <vt:lpstr>Balance Sheet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Depriese Love</dc:creator>
  <dcterms:created xsi:type="dcterms:W3CDTF">2026-01-31T19:35:21Z</dcterms:created>
</cp:coreProperties>
</file>